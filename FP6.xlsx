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lbert\SENSOR_FUSION\Project_Submissions\Camera_Final_Project\SFND_3D_Object_Tracking\"/>
    </mc:Choice>
  </mc:AlternateContent>
  <xr:revisionPtr revIDLastSave="0" documentId="13_ncr:1_{09B97E23-2180-4B16-8A2B-E13D70E22E2B}" xr6:coauthVersionLast="47" xr6:coauthVersionMax="47" xr10:uidLastSave="{00000000-0000-0000-0000-000000000000}"/>
  <bookViews>
    <workbookView xWindow="-80" yWindow="-80" windowWidth="25760" windowHeight="15440" xr2:uid="{7214647A-5B44-4F86-B620-7497692EA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V25" i="1"/>
  <c r="V26" i="1"/>
  <c r="V27" i="1"/>
  <c r="V28" i="1"/>
  <c r="V31" i="1"/>
  <c r="V32" i="1"/>
  <c r="V33" i="1"/>
  <c r="V34" i="1"/>
  <c r="V35" i="1"/>
  <c r="V39" i="1"/>
  <c r="V40" i="1"/>
  <c r="V41" i="1"/>
  <c r="V42" i="1"/>
  <c r="V45" i="1"/>
  <c r="V46" i="1"/>
  <c r="V47" i="1"/>
  <c r="V48" i="1"/>
  <c r="V49" i="1"/>
  <c r="V50" i="1"/>
  <c r="U24" i="1"/>
  <c r="U25" i="1"/>
  <c r="U26" i="1"/>
  <c r="U27" i="1"/>
  <c r="U28" i="1"/>
  <c r="U31" i="1"/>
  <c r="U32" i="1"/>
  <c r="U33" i="1"/>
  <c r="U34" i="1"/>
  <c r="U35" i="1"/>
  <c r="U39" i="1"/>
  <c r="U40" i="1"/>
  <c r="U41" i="1"/>
  <c r="U42" i="1"/>
  <c r="U45" i="1"/>
  <c r="U46" i="1"/>
  <c r="U47" i="1"/>
  <c r="U48" i="1"/>
  <c r="U49" i="1"/>
  <c r="U50" i="1"/>
  <c r="T24" i="1"/>
  <c r="T25" i="1"/>
  <c r="T26" i="1"/>
  <c r="T27" i="1"/>
  <c r="T28" i="1"/>
  <c r="T31" i="1"/>
  <c r="T32" i="1"/>
  <c r="T33" i="1"/>
  <c r="T34" i="1"/>
  <c r="T35" i="1"/>
  <c r="T39" i="1"/>
  <c r="T40" i="1"/>
  <c r="T41" i="1"/>
  <c r="T42" i="1"/>
  <c r="T45" i="1"/>
  <c r="T46" i="1"/>
  <c r="T47" i="1"/>
  <c r="T48" i="1"/>
  <c r="T49" i="1"/>
  <c r="T50" i="1"/>
  <c r="V6" i="1"/>
  <c r="V7" i="1"/>
  <c r="V10" i="1"/>
  <c r="V11" i="1"/>
  <c r="V12" i="1"/>
  <c r="V13" i="1"/>
  <c r="V14" i="1"/>
  <c r="V17" i="1"/>
  <c r="V18" i="1"/>
  <c r="V19" i="1"/>
  <c r="V20" i="1"/>
  <c r="V21" i="1"/>
  <c r="U6" i="1"/>
  <c r="U7" i="1"/>
  <c r="U10" i="1"/>
  <c r="U11" i="1"/>
  <c r="U12" i="1"/>
  <c r="U13" i="1"/>
  <c r="U14" i="1"/>
  <c r="U17" i="1"/>
  <c r="U18" i="1"/>
  <c r="U19" i="1"/>
  <c r="U20" i="1"/>
  <c r="U21" i="1"/>
  <c r="T6" i="1"/>
  <c r="T7" i="1"/>
  <c r="T10" i="1"/>
  <c r="T11" i="1"/>
  <c r="T12" i="1"/>
  <c r="T13" i="1"/>
  <c r="T14" i="1"/>
  <c r="T17" i="1"/>
  <c r="T18" i="1"/>
  <c r="T19" i="1"/>
  <c r="T20" i="1"/>
  <c r="T21" i="1"/>
  <c r="V5" i="1"/>
  <c r="U5" i="1"/>
  <c r="T5" i="1"/>
  <c r="V3" i="1"/>
  <c r="U3" i="1"/>
  <c r="T3" i="1"/>
  <c r="V4" i="1" l="1"/>
  <c r="U4" i="1"/>
  <c r="T4" i="1"/>
</calcChain>
</file>

<file path=xl/sharedStrings.xml><?xml version="1.0" encoding="utf-8"?>
<sst xmlns="http://schemas.openxmlformats.org/spreadsheetml/2006/main" count="153" uniqueCount="47">
  <si>
    <t>FAST+ORB</t>
  </si>
  <si>
    <t>FAST + BRIEF</t>
  </si>
  <si>
    <t>TYPE</t>
  </si>
  <si>
    <t>FRAME NO</t>
  </si>
  <si>
    <t>STD.DEVIATION</t>
  </si>
  <si>
    <t>MINIMUM TTC</t>
  </si>
  <si>
    <t>FAST+FREAK</t>
  </si>
  <si>
    <t>HARRIS+ORB</t>
  </si>
  <si>
    <t>HARRIS + BRIEF</t>
  </si>
  <si>
    <t>HARRIS+FREAK</t>
  </si>
  <si>
    <t>BRISK+ORB</t>
  </si>
  <si>
    <t>BRISK + BRIEF</t>
  </si>
  <si>
    <t>BRISK+FREAK</t>
  </si>
  <si>
    <t>ORB+ORB</t>
  </si>
  <si>
    <t>ORB + BRIEF</t>
  </si>
  <si>
    <t>ORB+FREAK</t>
  </si>
  <si>
    <t>SIFT+ORB</t>
  </si>
  <si>
    <t>SIFT + BRIEF</t>
  </si>
  <si>
    <t>SIFT+FREAK</t>
  </si>
  <si>
    <t>AKAZE+ORB</t>
  </si>
  <si>
    <t>AKAZE + BRIEF</t>
  </si>
  <si>
    <t>AKAZE+FREAK</t>
  </si>
  <si>
    <t>AKAZE+AKAZE</t>
  </si>
  <si>
    <t>FAST + BRISK</t>
  </si>
  <si>
    <t>FAST+SIFT</t>
  </si>
  <si>
    <t>HARRIS+SIFT</t>
  </si>
  <si>
    <t>HARRIS + BRISK</t>
  </si>
  <si>
    <t>BRISK + BRISK</t>
  </si>
  <si>
    <t>BRISK+SIFT</t>
  </si>
  <si>
    <t>ORB + BRISK</t>
  </si>
  <si>
    <t>ORB+SIFT</t>
  </si>
  <si>
    <t>SIFT + BRISK</t>
  </si>
  <si>
    <t>SIFT+SIFT</t>
  </si>
  <si>
    <t>AKAZE + BRISK</t>
  </si>
  <si>
    <t>AKAZE+SIFT</t>
  </si>
  <si>
    <t>SHI TOMASI + ORB</t>
  </si>
  <si>
    <t>SHI TOMASI + BRIEF</t>
  </si>
  <si>
    <t>SHI TOMASI + BRISK</t>
  </si>
  <si>
    <t>SHI TOMASI+SIFT</t>
  </si>
  <si>
    <t>SHI TOMASI+FREAK</t>
  </si>
  <si>
    <t>NA</t>
  </si>
  <si>
    <t>1NA,97</t>
  </si>
  <si>
    <t>1NA,93</t>
  </si>
  <si>
    <t>2NA,586</t>
  </si>
  <si>
    <t>7,NA37</t>
  </si>
  <si>
    <t>1NA,29</t>
  </si>
  <si>
    <t>AVERAGE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</si>
</sst>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E0F0-F723-44AC-AA0A-97275A2BB41B}">
  <dimension ref="A1:Z53"/>
  <sheetViews>
    <sheetView tabSelected="1" topLeftCell="E1" workbookViewId="0">
      <selection activeCell="W9" sqref="W9"/>
    </sheetView>
  </sheetViews>
  <sheetFormatPr defaultRowHeight="14.5" x14ac:dyDescent="0.35"/>
  <cols>
    <col min="1" max="1" width="33.08984375" customWidth="1"/>
    <col min="2" max="2" width="10.26953125" customWidth="1"/>
    <col min="3" max="3" width="9.54296875" customWidth="1"/>
    <col min="4" max="4" width="9.6328125" customWidth="1"/>
    <col min="5" max="5" width="9.81640625" customWidth="1"/>
    <col min="10" max="10" width="9.6328125" customWidth="1"/>
    <col min="20" max="20" width="16.54296875" customWidth="1"/>
    <col min="21" max="21" width="17.08984375" customWidth="1"/>
    <col min="22" max="22" width="16.08984375" customWidth="1"/>
  </cols>
  <sheetData>
    <row r="1" spans="1:26" ht="41.5" customHeight="1" x14ac:dyDescent="0.45">
      <c r="A1" s="6" t="s">
        <v>2</v>
      </c>
      <c r="B1" s="4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8" t="s">
        <v>46</v>
      </c>
      <c r="U1" s="8" t="s">
        <v>4</v>
      </c>
      <c r="V1" s="8" t="s">
        <v>5</v>
      </c>
    </row>
    <row r="2" spans="1:26" ht="17" customHeight="1" thickBot="1" x14ac:dyDescent="0.45">
      <c r="A2" s="7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9"/>
      <c r="U2" s="10"/>
      <c r="V2" s="10"/>
      <c r="W2" s="2"/>
      <c r="X2" s="2"/>
      <c r="Y2" s="2"/>
      <c r="Z2" s="2"/>
    </row>
    <row r="3" spans="1:26" ht="16" x14ac:dyDescent="0.4">
      <c r="A3" s="1" t="s">
        <v>0</v>
      </c>
      <c r="B3">
        <v>12.7</v>
      </c>
      <c r="C3">
        <v>13.2</v>
      </c>
      <c r="D3">
        <v>19.03</v>
      </c>
      <c r="E3">
        <v>13.9</v>
      </c>
      <c r="F3">
        <v>138.49</v>
      </c>
      <c r="G3">
        <v>66.022000000000006</v>
      </c>
      <c r="H3">
        <v>12.74</v>
      </c>
      <c r="I3">
        <v>12.68</v>
      </c>
      <c r="J3">
        <v>13.92</v>
      </c>
      <c r="K3">
        <v>14.04</v>
      </c>
      <c r="L3">
        <v>14.87</v>
      </c>
      <c r="M3">
        <v>11.39</v>
      </c>
      <c r="N3">
        <v>12.94</v>
      </c>
      <c r="O3">
        <v>12.5</v>
      </c>
      <c r="P3">
        <v>11.47</v>
      </c>
      <c r="Q3">
        <v>12.95</v>
      </c>
      <c r="R3">
        <v>12.013999999999999</v>
      </c>
      <c r="S3">
        <v>13.79</v>
      </c>
      <c r="T3">
        <f>AVERAGE(B3:S3)</f>
        <v>23.258111111111116</v>
      </c>
      <c r="U3">
        <f>_xlfn.STDEV.S(B3:S3)</f>
        <v>31.35624020432989</v>
      </c>
      <c r="V3">
        <f>MIN(B3:S3)</f>
        <v>11.39</v>
      </c>
    </row>
    <row r="4" spans="1:26" ht="16" x14ac:dyDescent="0.4">
      <c r="A4" s="1" t="s">
        <v>1</v>
      </c>
      <c r="B4">
        <v>12.59</v>
      </c>
      <c r="C4">
        <v>13.14</v>
      </c>
      <c r="D4">
        <v>23.49</v>
      </c>
      <c r="E4">
        <v>15.337999999999999</v>
      </c>
      <c r="F4" t="s">
        <v>40</v>
      </c>
      <c r="G4">
        <v>66.022000000000006</v>
      </c>
      <c r="H4">
        <v>12.93</v>
      </c>
      <c r="I4">
        <v>12.65</v>
      </c>
      <c r="J4">
        <v>13.92</v>
      </c>
      <c r="K4">
        <v>17.14</v>
      </c>
      <c r="L4">
        <v>13.99</v>
      </c>
      <c r="M4">
        <v>13.16</v>
      </c>
      <c r="N4">
        <v>13.411</v>
      </c>
      <c r="O4">
        <v>13.19</v>
      </c>
      <c r="P4">
        <v>12.6</v>
      </c>
      <c r="Q4">
        <v>12.65</v>
      </c>
      <c r="R4">
        <v>11.55</v>
      </c>
      <c r="S4">
        <v>13.79</v>
      </c>
      <c r="T4">
        <f t="shared" ref="T4:T21" si="0">AVERAGE(B4:S4)</f>
        <v>17.150647058823527</v>
      </c>
      <c r="U4">
        <f t="shared" ref="U4:U21" si="1">_xlfn.STDEV.S(B4:S4)</f>
        <v>12.885277310467444</v>
      </c>
      <c r="V4">
        <f t="shared" ref="V4:V21" si="2">MIN(B4:S4)</f>
        <v>11.55</v>
      </c>
    </row>
    <row r="5" spans="1:26" ht="16" x14ac:dyDescent="0.4">
      <c r="A5" s="1" t="s">
        <v>23</v>
      </c>
      <c r="B5">
        <v>11.93</v>
      </c>
      <c r="C5">
        <v>12.08</v>
      </c>
      <c r="D5">
        <v>14.58</v>
      </c>
      <c r="E5">
        <v>13.78</v>
      </c>
      <c r="F5">
        <v>49.198999999999998</v>
      </c>
      <c r="G5">
        <v>13.144</v>
      </c>
      <c r="H5">
        <v>12.18</v>
      </c>
      <c r="I5">
        <v>11.81</v>
      </c>
      <c r="J5">
        <v>13.2</v>
      </c>
      <c r="K5">
        <v>13.2</v>
      </c>
      <c r="L5">
        <v>13.75</v>
      </c>
      <c r="M5">
        <v>11.4</v>
      </c>
      <c r="N5">
        <v>12.5</v>
      </c>
      <c r="O5">
        <v>11.69</v>
      </c>
      <c r="P5">
        <v>10.98</v>
      </c>
      <c r="Q5">
        <v>12.09</v>
      </c>
      <c r="R5">
        <v>9.69</v>
      </c>
      <c r="S5">
        <v>11.83</v>
      </c>
      <c r="T5">
        <f t="shared" si="0"/>
        <v>14.39072222222222</v>
      </c>
      <c r="U5">
        <f t="shared" si="1"/>
        <v>8.7620877434652016</v>
      </c>
      <c r="V5">
        <f t="shared" si="2"/>
        <v>9.69</v>
      </c>
    </row>
    <row r="6" spans="1:26" ht="16" x14ac:dyDescent="0.4">
      <c r="A6" s="1" t="s">
        <v>24</v>
      </c>
      <c r="B6">
        <v>12.44</v>
      </c>
      <c r="C6">
        <v>24.138999999999999</v>
      </c>
      <c r="D6">
        <v>19.03</v>
      </c>
      <c r="E6">
        <v>15.9</v>
      </c>
      <c r="F6" t="s">
        <v>40</v>
      </c>
      <c r="G6">
        <v>14.06</v>
      </c>
      <c r="H6">
        <v>12.62</v>
      </c>
      <c r="I6">
        <v>12.8</v>
      </c>
      <c r="J6">
        <v>13.92</v>
      </c>
      <c r="K6">
        <v>17.57</v>
      </c>
      <c r="L6">
        <v>15.1</v>
      </c>
      <c r="M6">
        <v>12.84</v>
      </c>
      <c r="N6">
        <v>12.86</v>
      </c>
      <c r="O6">
        <v>12.98</v>
      </c>
      <c r="P6">
        <v>12.6</v>
      </c>
      <c r="Q6">
        <v>13.05</v>
      </c>
      <c r="R6">
        <v>11.67</v>
      </c>
      <c r="S6">
        <v>13.79</v>
      </c>
      <c r="T6">
        <f t="shared" si="0"/>
        <v>14.551117647058822</v>
      </c>
      <c r="U6">
        <f t="shared" si="1"/>
        <v>3.1455404917587955</v>
      </c>
      <c r="V6">
        <f t="shared" si="2"/>
        <v>11.67</v>
      </c>
    </row>
    <row r="7" spans="1:26" ht="16" x14ac:dyDescent="0.4">
      <c r="A7" s="1" t="s">
        <v>6</v>
      </c>
      <c r="B7">
        <v>12.59</v>
      </c>
      <c r="C7">
        <v>24.12</v>
      </c>
      <c r="D7">
        <v>13.35</v>
      </c>
      <c r="E7">
        <v>13.54</v>
      </c>
      <c r="F7">
        <v>13.57</v>
      </c>
      <c r="G7">
        <v>12.55</v>
      </c>
      <c r="H7">
        <v>13.05</v>
      </c>
      <c r="I7">
        <v>12.21</v>
      </c>
      <c r="J7">
        <v>12.02</v>
      </c>
      <c r="K7">
        <v>14.51</v>
      </c>
      <c r="L7">
        <v>12.4</v>
      </c>
      <c r="M7">
        <v>11.86</v>
      </c>
      <c r="N7">
        <v>12.57</v>
      </c>
      <c r="O7">
        <v>11.47</v>
      </c>
      <c r="P7">
        <v>11.16</v>
      </c>
      <c r="Q7">
        <v>11.65</v>
      </c>
      <c r="R7">
        <v>8.59</v>
      </c>
      <c r="S7">
        <v>12.186</v>
      </c>
      <c r="T7">
        <f t="shared" si="0"/>
        <v>12.966444444444443</v>
      </c>
      <c r="U7">
        <f t="shared" si="1"/>
        <v>3.0497350747472818</v>
      </c>
      <c r="V7">
        <f t="shared" si="2"/>
        <v>8.59</v>
      </c>
    </row>
    <row r="10" spans="1:26" ht="16" x14ac:dyDescent="0.4">
      <c r="A10" s="1" t="s">
        <v>35</v>
      </c>
      <c r="B10">
        <v>14.07</v>
      </c>
      <c r="C10">
        <v>12.9</v>
      </c>
      <c r="D10">
        <v>18.3</v>
      </c>
      <c r="E10">
        <v>12.38</v>
      </c>
      <c r="F10">
        <v>13.5</v>
      </c>
      <c r="G10">
        <v>15.15</v>
      </c>
      <c r="H10">
        <v>15</v>
      </c>
      <c r="I10">
        <v>14.5</v>
      </c>
      <c r="J10">
        <v>11.97</v>
      </c>
      <c r="K10">
        <v>14.24</v>
      </c>
      <c r="L10">
        <v>11.45</v>
      </c>
      <c r="M10">
        <v>12.76</v>
      </c>
      <c r="N10">
        <v>12.82</v>
      </c>
      <c r="O10">
        <v>12.47</v>
      </c>
      <c r="P10">
        <v>12.35</v>
      </c>
      <c r="Q10">
        <v>12.32</v>
      </c>
      <c r="R10">
        <v>13.52</v>
      </c>
      <c r="S10">
        <v>10.72</v>
      </c>
      <c r="T10">
        <f t="shared" si="0"/>
        <v>13.356666666666666</v>
      </c>
      <c r="U10">
        <f t="shared" si="1"/>
        <v>1.7182001526905766</v>
      </c>
      <c r="V10">
        <f t="shared" si="2"/>
        <v>10.72</v>
      </c>
    </row>
    <row r="11" spans="1:26" ht="16" x14ac:dyDescent="0.4">
      <c r="A11" s="1" t="s">
        <v>36</v>
      </c>
      <c r="B11">
        <v>14.074</v>
      </c>
      <c r="C11">
        <v>14.589</v>
      </c>
      <c r="D11">
        <v>14.14</v>
      </c>
      <c r="E11">
        <v>13.01</v>
      </c>
      <c r="F11">
        <v>13.311</v>
      </c>
      <c r="G11">
        <v>15.153</v>
      </c>
      <c r="H11">
        <v>13.8</v>
      </c>
      <c r="I11">
        <v>15.32</v>
      </c>
      <c r="J11">
        <v>11.95</v>
      </c>
      <c r="K11">
        <v>14.944000000000001</v>
      </c>
      <c r="L11">
        <v>11.8</v>
      </c>
      <c r="M11">
        <v>12.22</v>
      </c>
      <c r="N11">
        <v>13.1</v>
      </c>
      <c r="O11">
        <v>12.17</v>
      </c>
      <c r="P11">
        <v>22.11</v>
      </c>
      <c r="Q11">
        <v>11.97</v>
      </c>
      <c r="R11">
        <v>11.18</v>
      </c>
      <c r="S11">
        <v>12.08</v>
      </c>
      <c r="T11">
        <f t="shared" si="0"/>
        <v>13.717833333333333</v>
      </c>
      <c r="U11">
        <f t="shared" si="1"/>
        <v>2.4530681688808609</v>
      </c>
      <c r="V11">
        <f t="shared" si="2"/>
        <v>11.18</v>
      </c>
    </row>
    <row r="12" spans="1:26" ht="16" x14ac:dyDescent="0.4">
      <c r="A12" s="1" t="s">
        <v>37</v>
      </c>
      <c r="B12">
        <v>13.53</v>
      </c>
      <c r="C12">
        <v>13.89</v>
      </c>
      <c r="D12">
        <v>12.067</v>
      </c>
      <c r="E12">
        <v>12.85</v>
      </c>
      <c r="F12">
        <v>12.334</v>
      </c>
      <c r="G12">
        <v>13.75</v>
      </c>
      <c r="H12">
        <v>12.18</v>
      </c>
      <c r="I12">
        <v>13.51</v>
      </c>
      <c r="J12">
        <v>11.006</v>
      </c>
      <c r="K12" t="s">
        <v>40</v>
      </c>
      <c r="L12">
        <v>11.23</v>
      </c>
      <c r="M12">
        <v>11.65</v>
      </c>
      <c r="N12">
        <v>11.666</v>
      </c>
      <c r="O12">
        <v>12.0411</v>
      </c>
      <c r="P12">
        <v>11.7</v>
      </c>
      <c r="Q12">
        <v>12.18</v>
      </c>
      <c r="R12">
        <v>11.12</v>
      </c>
      <c r="S12">
        <v>9.76</v>
      </c>
      <c r="T12">
        <f t="shared" si="0"/>
        <v>12.144947058823529</v>
      </c>
      <c r="U12">
        <f t="shared" si="1"/>
        <v>1.1039831906089237</v>
      </c>
      <c r="V12">
        <f t="shared" si="2"/>
        <v>9.76</v>
      </c>
    </row>
    <row r="13" spans="1:26" ht="16" x14ac:dyDescent="0.4">
      <c r="A13" s="1" t="s">
        <v>38</v>
      </c>
      <c r="B13">
        <v>14.074</v>
      </c>
      <c r="C13">
        <v>14.66</v>
      </c>
      <c r="D13">
        <v>14.38</v>
      </c>
      <c r="E13">
        <v>13.012</v>
      </c>
      <c r="F13">
        <v>13.55</v>
      </c>
      <c r="G13">
        <v>15.15</v>
      </c>
      <c r="H13">
        <v>15.8</v>
      </c>
      <c r="I13">
        <v>15.32</v>
      </c>
      <c r="J13">
        <v>12.23</v>
      </c>
      <c r="K13">
        <v>17.04</v>
      </c>
      <c r="L13">
        <v>12.29</v>
      </c>
      <c r="M13">
        <v>12.76</v>
      </c>
      <c r="N13">
        <v>12.84</v>
      </c>
      <c r="O13">
        <v>12.71</v>
      </c>
      <c r="P13">
        <v>12.35</v>
      </c>
      <c r="Q13">
        <v>13.31</v>
      </c>
      <c r="R13">
        <v>13.52</v>
      </c>
      <c r="S13">
        <v>12.087999999999999</v>
      </c>
      <c r="T13">
        <f t="shared" si="0"/>
        <v>13.726888888888887</v>
      </c>
      <c r="U13">
        <f t="shared" si="1"/>
        <v>1.4070630609593657</v>
      </c>
      <c r="V13">
        <f t="shared" si="2"/>
        <v>12.087999999999999</v>
      </c>
    </row>
    <row r="14" spans="1:26" ht="16" x14ac:dyDescent="0.4">
      <c r="A14" s="1" t="s">
        <v>39</v>
      </c>
      <c r="B14">
        <v>13.18</v>
      </c>
      <c r="C14">
        <v>14.16</v>
      </c>
      <c r="D14">
        <v>11.39</v>
      </c>
      <c r="E14">
        <v>11.85</v>
      </c>
      <c r="F14">
        <v>11.84</v>
      </c>
      <c r="G14">
        <v>14.89</v>
      </c>
      <c r="H14">
        <v>12.43</v>
      </c>
      <c r="I14">
        <v>12.05</v>
      </c>
      <c r="J14">
        <v>12.311</v>
      </c>
      <c r="K14">
        <v>13.02</v>
      </c>
      <c r="L14">
        <v>11.41</v>
      </c>
      <c r="M14">
        <v>11.33</v>
      </c>
      <c r="N14">
        <v>12.4</v>
      </c>
      <c r="O14">
        <v>12.39</v>
      </c>
      <c r="P14">
        <v>10.28</v>
      </c>
      <c r="Q14">
        <v>11.1</v>
      </c>
      <c r="R14">
        <v>11.63</v>
      </c>
      <c r="S14">
        <v>8.2010000000000005</v>
      </c>
      <c r="T14">
        <f t="shared" si="0"/>
        <v>11.992333333333333</v>
      </c>
      <c r="U14">
        <f t="shared" si="1"/>
        <v>1.4471181097372126</v>
      </c>
      <c r="V14">
        <f t="shared" si="2"/>
        <v>8.2010000000000005</v>
      </c>
    </row>
    <row r="17" spans="1:22" ht="16" x14ac:dyDescent="0.4">
      <c r="A17" s="1" t="s">
        <v>7</v>
      </c>
      <c r="B17" t="s">
        <v>40</v>
      </c>
      <c r="C17" t="s">
        <v>40</v>
      </c>
      <c r="D17" t="s">
        <v>40</v>
      </c>
      <c r="E17" t="s">
        <v>41</v>
      </c>
      <c r="F17">
        <v>35.380000000000003</v>
      </c>
      <c r="G17" t="s">
        <v>40</v>
      </c>
      <c r="H17">
        <v>13.19</v>
      </c>
      <c r="I17">
        <v>17.600000000000001</v>
      </c>
      <c r="J17" t="s">
        <v>40</v>
      </c>
      <c r="K17" t="s">
        <v>40</v>
      </c>
      <c r="L17">
        <v>11.43</v>
      </c>
      <c r="M17" t="s">
        <v>40</v>
      </c>
      <c r="N17" t="s">
        <v>40</v>
      </c>
      <c r="O17">
        <v>5.66</v>
      </c>
      <c r="P17" t="s">
        <v>40</v>
      </c>
      <c r="Q17" t="s">
        <v>42</v>
      </c>
      <c r="R17" t="s">
        <v>40</v>
      </c>
      <c r="S17" t="s">
        <v>40</v>
      </c>
      <c r="T17">
        <f t="shared" si="0"/>
        <v>16.651999999999997</v>
      </c>
      <c r="U17">
        <f t="shared" si="1"/>
        <v>11.310564530561688</v>
      </c>
      <c r="V17">
        <f t="shared" si="2"/>
        <v>5.66</v>
      </c>
    </row>
    <row r="18" spans="1:22" ht="16" x14ac:dyDescent="0.4">
      <c r="A18" s="1" t="s">
        <v>8</v>
      </c>
      <c r="B18" t="s">
        <v>40</v>
      </c>
      <c r="C18" t="s">
        <v>40</v>
      </c>
      <c r="D18">
        <v>-11.47</v>
      </c>
      <c r="E18" t="s">
        <v>41</v>
      </c>
      <c r="F18">
        <v>35.380000000000003</v>
      </c>
      <c r="G18" t="s">
        <v>40</v>
      </c>
      <c r="H18">
        <v>14.27</v>
      </c>
      <c r="I18" t="s">
        <v>40</v>
      </c>
      <c r="J18" t="s">
        <v>40</v>
      </c>
      <c r="K18" t="s">
        <v>43</v>
      </c>
      <c r="L18">
        <v>11.741</v>
      </c>
      <c r="M18" t="s">
        <v>40</v>
      </c>
      <c r="N18" t="s">
        <v>40</v>
      </c>
      <c r="O18">
        <v>5.66</v>
      </c>
      <c r="P18" t="s">
        <v>40</v>
      </c>
      <c r="Q18" t="s">
        <v>44</v>
      </c>
      <c r="R18">
        <v>12.58</v>
      </c>
      <c r="S18">
        <v>25.67</v>
      </c>
      <c r="T18">
        <f t="shared" si="0"/>
        <v>13.404428571428571</v>
      </c>
      <c r="U18">
        <f t="shared" si="1"/>
        <v>14.811477777466399</v>
      </c>
      <c r="V18">
        <f t="shared" si="2"/>
        <v>-11.47</v>
      </c>
    </row>
    <row r="19" spans="1:22" ht="16" x14ac:dyDescent="0.4">
      <c r="A19" s="1" t="s">
        <v>26</v>
      </c>
      <c r="B19" t="s">
        <v>40</v>
      </c>
      <c r="C19" t="s">
        <v>40</v>
      </c>
      <c r="D19" t="s">
        <v>40</v>
      </c>
      <c r="E19" t="s">
        <v>41</v>
      </c>
      <c r="F19">
        <v>35.380000000000003</v>
      </c>
      <c r="G19" t="s">
        <v>40</v>
      </c>
      <c r="H19">
        <v>12.2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42</v>
      </c>
      <c r="R19" t="s">
        <v>40</v>
      </c>
      <c r="S19" t="s">
        <v>40</v>
      </c>
      <c r="T19">
        <f t="shared" si="0"/>
        <v>23.79</v>
      </c>
      <c r="U19">
        <f t="shared" si="1"/>
        <v>16.390735187904184</v>
      </c>
      <c r="V19">
        <f t="shared" si="2"/>
        <v>12.2</v>
      </c>
    </row>
    <row r="20" spans="1:22" ht="16" x14ac:dyDescent="0.4">
      <c r="A20" s="1" t="s">
        <v>25</v>
      </c>
      <c r="B20" t="s">
        <v>40</v>
      </c>
      <c r="C20" t="s">
        <v>40</v>
      </c>
      <c r="D20" t="s">
        <v>40</v>
      </c>
      <c r="E20" t="s">
        <v>41</v>
      </c>
      <c r="F20">
        <v>35.380000000000003</v>
      </c>
      <c r="G20">
        <v>13.59</v>
      </c>
      <c r="H20" t="s">
        <v>40</v>
      </c>
      <c r="I20" t="s">
        <v>40</v>
      </c>
      <c r="J20" t="s">
        <v>40</v>
      </c>
      <c r="K20" t="s">
        <v>45</v>
      </c>
      <c r="L20">
        <v>11.74</v>
      </c>
      <c r="M20" t="s">
        <v>40</v>
      </c>
      <c r="N20" t="s">
        <v>40</v>
      </c>
      <c r="O20">
        <v>5.6</v>
      </c>
      <c r="P20">
        <v>-13.62</v>
      </c>
      <c r="Q20" t="s">
        <v>42</v>
      </c>
      <c r="R20" t="s">
        <v>40</v>
      </c>
      <c r="S20" t="s">
        <v>40</v>
      </c>
      <c r="T20">
        <f t="shared" si="0"/>
        <v>10.538</v>
      </c>
      <c r="U20">
        <f t="shared" si="1"/>
        <v>17.577523147474448</v>
      </c>
      <c r="V20">
        <f t="shared" si="2"/>
        <v>-13.62</v>
      </c>
    </row>
    <row r="21" spans="1:22" ht="16" x14ac:dyDescent="0.4">
      <c r="A21" s="1" t="s">
        <v>9</v>
      </c>
      <c r="B21" t="s">
        <v>40</v>
      </c>
      <c r="C21" t="s">
        <v>40</v>
      </c>
      <c r="D21" t="s">
        <v>40</v>
      </c>
      <c r="E21" t="s">
        <v>40</v>
      </c>
      <c r="F21">
        <v>35.383200000000002</v>
      </c>
      <c r="G21" t="s">
        <v>40</v>
      </c>
      <c r="H21">
        <v>12.27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>
        <v>11.79</v>
      </c>
      <c r="R21" t="s">
        <v>40</v>
      </c>
      <c r="S21" t="s">
        <v>40</v>
      </c>
      <c r="T21">
        <f t="shared" si="0"/>
        <v>19.814399999999999</v>
      </c>
      <c r="U21">
        <f t="shared" si="1"/>
        <v>13.485112164160897</v>
      </c>
      <c r="V21">
        <f t="shared" si="2"/>
        <v>11.79</v>
      </c>
    </row>
    <row r="24" spans="1:22" ht="16" x14ac:dyDescent="0.4">
      <c r="A24" s="1" t="s">
        <v>10</v>
      </c>
      <c r="B24">
        <v>22.75</v>
      </c>
      <c r="C24">
        <v>19.3</v>
      </c>
      <c r="D24">
        <v>14.3</v>
      </c>
      <c r="E24">
        <v>16.3</v>
      </c>
      <c r="F24">
        <v>20.14</v>
      </c>
      <c r="G24">
        <v>20.34</v>
      </c>
      <c r="H24">
        <v>18.649999999999999</v>
      </c>
      <c r="I24">
        <v>16.8</v>
      </c>
      <c r="J24">
        <v>13.33</v>
      </c>
      <c r="K24">
        <v>12.75</v>
      </c>
      <c r="L24">
        <v>13.22</v>
      </c>
      <c r="M24">
        <v>11.5</v>
      </c>
      <c r="N24">
        <v>12.89</v>
      </c>
      <c r="O24">
        <v>15.39</v>
      </c>
      <c r="P24">
        <v>13.27</v>
      </c>
      <c r="Q24">
        <v>14.55</v>
      </c>
      <c r="R24">
        <v>9.99</v>
      </c>
      <c r="S24">
        <v>14.26</v>
      </c>
      <c r="T24">
        <f>AVERAGE(B24:S24)</f>
        <v>15.540555555555557</v>
      </c>
      <c r="U24">
        <f>_xlfn.STDEV.S(B24:S24)</f>
        <v>3.4614489863303324</v>
      </c>
      <c r="V24">
        <f>MIN(B24:S24)</f>
        <v>9.99</v>
      </c>
    </row>
    <row r="25" spans="1:22" ht="16" x14ac:dyDescent="0.4">
      <c r="A25" s="1" t="s">
        <v>11</v>
      </c>
      <c r="B25">
        <v>16.38</v>
      </c>
      <c r="C25">
        <v>20.94</v>
      </c>
      <c r="D25">
        <v>20.239999999999998</v>
      </c>
      <c r="E25">
        <v>26.18</v>
      </c>
      <c r="F25">
        <v>35.619999999999997</v>
      </c>
      <c r="G25">
        <v>51.86</v>
      </c>
      <c r="H25">
        <v>25.14</v>
      </c>
      <c r="I25">
        <v>30.94</v>
      </c>
      <c r="J25">
        <v>24.43</v>
      </c>
      <c r="K25">
        <v>16.37</v>
      </c>
      <c r="L25">
        <v>20.76</v>
      </c>
      <c r="M25">
        <v>19.14</v>
      </c>
      <c r="N25">
        <v>17.329999999999998</v>
      </c>
      <c r="O25">
        <v>18.55</v>
      </c>
      <c r="P25">
        <v>15.97</v>
      </c>
      <c r="Q25">
        <v>15.02</v>
      </c>
      <c r="R25">
        <v>15.7</v>
      </c>
      <c r="S25">
        <v>14.96</v>
      </c>
      <c r="T25">
        <f>AVERAGE(B25:S25)</f>
        <v>22.529444444444444</v>
      </c>
      <c r="U25">
        <f>_xlfn.STDEV.S(B25:S25)</f>
        <v>9.3005467721762454</v>
      </c>
      <c r="V25">
        <f>MIN(B25:S25)</f>
        <v>14.96</v>
      </c>
    </row>
    <row r="26" spans="1:22" ht="16" x14ac:dyDescent="0.4">
      <c r="A26" s="1" t="s">
        <v>27</v>
      </c>
      <c r="B26">
        <v>15.36</v>
      </c>
      <c r="C26">
        <v>18.07</v>
      </c>
      <c r="D26">
        <v>13.54</v>
      </c>
      <c r="E26">
        <v>16.53</v>
      </c>
      <c r="F26">
        <v>24.82</v>
      </c>
      <c r="G26">
        <v>28.84</v>
      </c>
      <c r="H26">
        <v>22.64</v>
      </c>
      <c r="I26">
        <v>16.899999999999999</v>
      </c>
      <c r="J26">
        <v>16.75</v>
      </c>
      <c r="K26">
        <v>15</v>
      </c>
      <c r="L26">
        <v>16.010999999999999</v>
      </c>
      <c r="M26">
        <v>18.010999999999999</v>
      </c>
      <c r="N26">
        <v>14.15</v>
      </c>
      <c r="O26">
        <v>13.91</v>
      </c>
      <c r="P26">
        <v>16.03</v>
      </c>
      <c r="Q26">
        <v>10.9</v>
      </c>
      <c r="R26">
        <v>10.72</v>
      </c>
      <c r="S26">
        <v>13.42</v>
      </c>
      <c r="T26">
        <f>AVERAGE(B26:S26)</f>
        <v>16.75566666666667</v>
      </c>
      <c r="U26">
        <f>_xlfn.STDEV.S(B26:S26)</f>
        <v>4.6161421631691715</v>
      </c>
      <c r="V26">
        <f>MIN(B26:S26)</f>
        <v>10.72</v>
      </c>
    </row>
    <row r="27" spans="1:22" ht="16" x14ac:dyDescent="0.4">
      <c r="A27" s="1" t="s">
        <v>28</v>
      </c>
      <c r="B27">
        <v>12.84</v>
      </c>
      <c r="C27">
        <v>16.989999999999998</v>
      </c>
      <c r="D27">
        <v>14.94</v>
      </c>
      <c r="E27">
        <v>13.94</v>
      </c>
      <c r="F27">
        <v>27.41</v>
      </c>
      <c r="G27">
        <v>15.69</v>
      </c>
      <c r="H27">
        <v>15.41</v>
      </c>
      <c r="I27">
        <v>16.5</v>
      </c>
      <c r="J27">
        <v>16.34</v>
      </c>
      <c r="K27">
        <v>15</v>
      </c>
      <c r="L27">
        <v>12.74</v>
      </c>
      <c r="M27">
        <v>11.51</v>
      </c>
      <c r="N27">
        <v>13.54</v>
      </c>
      <c r="O27">
        <v>11.61</v>
      </c>
      <c r="P27">
        <v>14.23</v>
      </c>
      <c r="Q27">
        <v>11.62</v>
      </c>
      <c r="R27">
        <v>10.1</v>
      </c>
      <c r="S27">
        <v>13.94</v>
      </c>
      <c r="T27">
        <f>AVERAGE(B27:S27)</f>
        <v>14.68611111111111</v>
      </c>
      <c r="U27">
        <f>_xlfn.STDEV.S(B27:S27)</f>
        <v>3.7159404460637986</v>
      </c>
      <c r="V27">
        <f>MIN(B27:S27)</f>
        <v>10.1</v>
      </c>
    </row>
    <row r="28" spans="1:22" ht="16" x14ac:dyDescent="0.4">
      <c r="A28" s="1" t="s">
        <v>12</v>
      </c>
      <c r="B28">
        <v>12.36</v>
      </c>
      <c r="C28">
        <v>20.11</v>
      </c>
      <c r="D28">
        <v>15.81</v>
      </c>
      <c r="E28">
        <v>13.91</v>
      </c>
      <c r="F28">
        <v>24.58</v>
      </c>
      <c r="G28">
        <v>12.93</v>
      </c>
      <c r="H28">
        <v>15.67</v>
      </c>
      <c r="I28">
        <v>18.23</v>
      </c>
      <c r="J28">
        <v>17.82</v>
      </c>
      <c r="K28">
        <v>12.72</v>
      </c>
      <c r="L28">
        <v>15.11</v>
      </c>
      <c r="M28">
        <v>12.14</v>
      </c>
      <c r="N28">
        <v>12.71</v>
      </c>
      <c r="O28">
        <v>11.62</v>
      </c>
      <c r="P28">
        <v>14.28</v>
      </c>
      <c r="Q28">
        <v>9.18</v>
      </c>
      <c r="R28">
        <v>9.18</v>
      </c>
      <c r="S28">
        <v>12.3</v>
      </c>
      <c r="T28">
        <f>AVERAGE(B28:S28)</f>
        <v>14.481111111111112</v>
      </c>
      <c r="U28">
        <f>_xlfn.STDEV.S(B28:S28)</f>
        <v>3.8393226867261911</v>
      </c>
      <c r="V28">
        <f>MIN(B28:S28)</f>
        <v>9.18</v>
      </c>
    </row>
    <row r="31" spans="1:22" ht="16" x14ac:dyDescent="0.4">
      <c r="A31" s="1" t="s">
        <v>13</v>
      </c>
      <c r="B31" t="s">
        <v>40</v>
      </c>
      <c r="C31">
        <v>11</v>
      </c>
      <c r="D31">
        <v>12.41</v>
      </c>
      <c r="E31" t="s">
        <v>40</v>
      </c>
      <c r="F31">
        <v>50.6</v>
      </c>
      <c r="G31" t="s">
        <v>40</v>
      </c>
      <c r="H31">
        <v>19.16</v>
      </c>
      <c r="I31">
        <v>13.91</v>
      </c>
      <c r="J31" t="s">
        <v>40</v>
      </c>
      <c r="K31">
        <v>24.76</v>
      </c>
      <c r="L31">
        <v>25</v>
      </c>
      <c r="M31" t="s">
        <v>40</v>
      </c>
      <c r="N31" t="s">
        <v>40</v>
      </c>
      <c r="O31" t="s">
        <v>40</v>
      </c>
      <c r="P31">
        <v>740.09</v>
      </c>
      <c r="Q31">
        <v>17.3</v>
      </c>
      <c r="R31">
        <v>15.64</v>
      </c>
      <c r="S31">
        <v>29.78</v>
      </c>
      <c r="T31">
        <f>AVERAGE(B31:S31)</f>
        <v>87.240909090909085</v>
      </c>
      <c r="U31">
        <f>_xlfn.STDEV.S(B31:S31)</f>
        <v>216.81264656170524</v>
      </c>
      <c r="V31">
        <f>MIN(B31:S31)</f>
        <v>11</v>
      </c>
    </row>
    <row r="32" spans="1:22" ht="16" x14ac:dyDescent="0.4">
      <c r="A32" s="1" t="s">
        <v>14</v>
      </c>
      <c r="B32">
        <v>1929.11</v>
      </c>
      <c r="C32" t="s">
        <v>40</v>
      </c>
      <c r="D32" t="s">
        <v>40</v>
      </c>
      <c r="E32">
        <v>37.82</v>
      </c>
      <c r="F32">
        <v>143.54</v>
      </c>
      <c r="G32" t="s">
        <v>40</v>
      </c>
      <c r="H32" t="s">
        <v>40</v>
      </c>
      <c r="I32">
        <v>245.42</v>
      </c>
      <c r="J32">
        <v>2826131.25</v>
      </c>
      <c r="K32">
        <v>15.433999999999999</v>
      </c>
      <c r="L32">
        <v>19.71</v>
      </c>
      <c r="M32">
        <v>20.440000000000001</v>
      </c>
      <c r="N32">
        <v>35.44</v>
      </c>
      <c r="O32">
        <v>33.97</v>
      </c>
      <c r="P32" t="s">
        <v>40</v>
      </c>
      <c r="Q32">
        <v>47.24</v>
      </c>
      <c r="R32">
        <v>224.16</v>
      </c>
      <c r="S32">
        <v>22.7</v>
      </c>
      <c r="T32">
        <f>AVERAGE(B32:S32)</f>
        <v>217608.17184615388</v>
      </c>
      <c r="U32">
        <f>_xlfn.STDEV.S(B32:S32)</f>
        <v>783763.81372734241</v>
      </c>
      <c r="V32">
        <f>MIN(B32:S32)</f>
        <v>15.433999999999999</v>
      </c>
    </row>
    <row r="33" spans="1:22" ht="16" x14ac:dyDescent="0.4">
      <c r="A33" s="1" t="s">
        <v>29</v>
      </c>
      <c r="B33">
        <v>18.34</v>
      </c>
      <c r="C33" t="s">
        <v>40</v>
      </c>
      <c r="D33">
        <v>18.53</v>
      </c>
      <c r="E33" t="s">
        <v>40</v>
      </c>
      <c r="F33" t="s">
        <v>40</v>
      </c>
      <c r="G33">
        <v>3320.29</v>
      </c>
      <c r="H33">
        <v>114.88</v>
      </c>
      <c r="I33" t="s">
        <v>40</v>
      </c>
      <c r="J33" s="12">
        <v>43.03</v>
      </c>
      <c r="K33">
        <v>20.99</v>
      </c>
      <c r="L33">
        <v>7.78</v>
      </c>
      <c r="M33" t="s">
        <v>40</v>
      </c>
      <c r="N33">
        <v>9.01</v>
      </c>
      <c r="O33" t="s">
        <v>40</v>
      </c>
      <c r="P33" t="s">
        <v>40</v>
      </c>
      <c r="Q33">
        <v>10.39</v>
      </c>
      <c r="R33">
        <v>15.66</v>
      </c>
      <c r="S33">
        <v>52.686</v>
      </c>
      <c r="T33">
        <f>AVERAGE(B33:S33)</f>
        <v>330.14418181818183</v>
      </c>
      <c r="U33">
        <f>_xlfn.STDEV.S(B33:S33)</f>
        <v>992.21059751061091</v>
      </c>
      <c r="V33">
        <f>MIN(B33:S33)</f>
        <v>7.78</v>
      </c>
    </row>
    <row r="34" spans="1:22" ht="16" x14ac:dyDescent="0.4">
      <c r="A34" s="1" t="s">
        <v>30</v>
      </c>
      <c r="B34">
        <v>16.72</v>
      </c>
      <c r="C34">
        <v>14.64</v>
      </c>
      <c r="D34">
        <v>12.91</v>
      </c>
      <c r="E34">
        <v>54.5</v>
      </c>
      <c r="F34">
        <v>43.14</v>
      </c>
      <c r="G34">
        <v>11.17</v>
      </c>
      <c r="H34">
        <v>42.39</v>
      </c>
      <c r="I34">
        <v>12.96</v>
      </c>
      <c r="J34">
        <v>19.78</v>
      </c>
      <c r="K34">
        <v>11.62</v>
      </c>
      <c r="L34">
        <v>8.42</v>
      </c>
      <c r="M34" t="s">
        <v>40</v>
      </c>
      <c r="N34">
        <v>8.25</v>
      </c>
      <c r="O34">
        <v>623.13</v>
      </c>
      <c r="P34">
        <v>59.36</v>
      </c>
      <c r="Q34">
        <v>13.2</v>
      </c>
      <c r="R34">
        <v>18.760000000000002</v>
      </c>
      <c r="S34">
        <v>19.227</v>
      </c>
      <c r="T34">
        <f>AVERAGE(B34:S34)</f>
        <v>58.245705882352944</v>
      </c>
      <c r="U34">
        <f>_xlfn.STDEV.S(B34:S34)</f>
        <v>146.47603116967835</v>
      </c>
      <c r="V34">
        <f>MIN(B34:S34)</f>
        <v>8.25</v>
      </c>
    </row>
    <row r="35" spans="1:22" ht="16" x14ac:dyDescent="0.4">
      <c r="A35" s="1" t="s">
        <v>15</v>
      </c>
      <c r="B35">
        <v>11.26</v>
      </c>
      <c r="C35" t="s">
        <v>40</v>
      </c>
      <c r="D35">
        <v>11.1</v>
      </c>
      <c r="E35">
        <v>29.48</v>
      </c>
      <c r="F35" t="s">
        <v>40</v>
      </c>
      <c r="G35">
        <v>18.23</v>
      </c>
      <c r="H35">
        <v>127.59</v>
      </c>
      <c r="I35">
        <v>9.3800000000000008</v>
      </c>
      <c r="J35">
        <v>30.14</v>
      </c>
      <c r="K35">
        <v>-55.32</v>
      </c>
      <c r="L35">
        <v>9</v>
      </c>
      <c r="M35">
        <v>35.6</v>
      </c>
      <c r="N35">
        <v>9.91</v>
      </c>
      <c r="O35" t="s">
        <v>40</v>
      </c>
      <c r="P35">
        <v>8.5299999999999994</v>
      </c>
      <c r="Q35">
        <v>10.48</v>
      </c>
      <c r="R35">
        <v>25.81</v>
      </c>
      <c r="S35">
        <v>24.18</v>
      </c>
      <c r="T35">
        <f>AVERAGE(B35:S35)</f>
        <v>20.358000000000001</v>
      </c>
      <c r="U35">
        <f>_xlfn.STDEV.S(B35:S35)</f>
        <v>36.302873597396825</v>
      </c>
      <c r="V35">
        <f>MIN(B35:S35)</f>
        <v>-55.32</v>
      </c>
    </row>
    <row r="38" spans="1:22" ht="16" x14ac:dyDescent="0.4">
      <c r="A38" s="1" t="s">
        <v>16</v>
      </c>
      <c r="B38" t="s">
        <v>40</v>
      </c>
      <c r="C38" t="s">
        <v>40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</row>
    <row r="39" spans="1:22" ht="16" x14ac:dyDescent="0.4">
      <c r="A39" s="1" t="s">
        <v>17</v>
      </c>
      <c r="B39">
        <v>11.84</v>
      </c>
      <c r="C39">
        <v>12.81</v>
      </c>
      <c r="D39">
        <v>14.01</v>
      </c>
      <c r="E39">
        <v>18.62</v>
      </c>
      <c r="F39">
        <v>13.26</v>
      </c>
      <c r="G39">
        <v>12.33</v>
      </c>
      <c r="H39">
        <v>14.91</v>
      </c>
      <c r="I39">
        <v>17.68</v>
      </c>
      <c r="J39">
        <v>12.36</v>
      </c>
      <c r="K39">
        <v>10.59</v>
      </c>
      <c r="L39">
        <v>13.47</v>
      </c>
      <c r="M39">
        <v>11.16</v>
      </c>
      <c r="N39">
        <v>10.42</v>
      </c>
      <c r="O39">
        <v>11.73</v>
      </c>
      <c r="P39">
        <v>10.29</v>
      </c>
      <c r="Q39">
        <v>10.46</v>
      </c>
      <c r="R39">
        <v>8.84</v>
      </c>
      <c r="S39">
        <v>10.73</v>
      </c>
      <c r="T39">
        <f>AVERAGE(B39:S39)</f>
        <v>12.528333333333331</v>
      </c>
      <c r="U39">
        <f t="shared" ref="U36:U50" si="3">_xlfn.STDEV.S(B39:S39)</f>
        <v>2.5483148988163626</v>
      </c>
      <c r="V39">
        <f t="shared" ref="V36:V50" si="4">MIN(B39:S39)</f>
        <v>8.84</v>
      </c>
    </row>
    <row r="40" spans="1:22" ht="16" x14ac:dyDescent="0.4">
      <c r="A40" s="1" t="s">
        <v>31</v>
      </c>
      <c r="B40">
        <v>19.22</v>
      </c>
      <c r="C40">
        <v>12.98</v>
      </c>
      <c r="D40">
        <v>13.47</v>
      </c>
      <c r="E40">
        <v>17.77</v>
      </c>
      <c r="F40">
        <v>16.190000000000001</v>
      </c>
      <c r="G40">
        <v>11.15</v>
      </c>
      <c r="H40">
        <v>13.01</v>
      </c>
      <c r="I40">
        <v>16.940000000000001</v>
      </c>
      <c r="J40">
        <v>12.98</v>
      </c>
      <c r="K40">
        <v>10.95</v>
      </c>
      <c r="L40">
        <v>11.02</v>
      </c>
      <c r="M40">
        <v>10.57</v>
      </c>
      <c r="N40">
        <v>9.42</v>
      </c>
      <c r="O40">
        <v>9.33</v>
      </c>
      <c r="P40">
        <v>9.7899999999999991</v>
      </c>
      <c r="Q40">
        <v>12.34</v>
      </c>
      <c r="R40">
        <v>12.22</v>
      </c>
      <c r="S40">
        <v>8.8699999999999992</v>
      </c>
      <c r="T40">
        <f>AVERAGE(B40:S40)</f>
        <v>12.678888888888888</v>
      </c>
      <c r="U40">
        <f t="shared" si="3"/>
        <v>3.0452216936372083</v>
      </c>
      <c r="V40">
        <f t="shared" si="4"/>
        <v>8.8699999999999992</v>
      </c>
    </row>
    <row r="41" spans="1:22" ht="16" x14ac:dyDescent="0.4">
      <c r="A41" s="1" t="s">
        <v>32</v>
      </c>
      <c r="B41">
        <v>11.37</v>
      </c>
      <c r="C41">
        <v>12.87</v>
      </c>
      <c r="D41">
        <v>13.09</v>
      </c>
      <c r="E41">
        <v>18.28</v>
      </c>
      <c r="F41">
        <v>12.75</v>
      </c>
      <c r="G41">
        <v>11.95</v>
      </c>
      <c r="H41">
        <v>13.43</v>
      </c>
      <c r="I41">
        <v>14.08</v>
      </c>
      <c r="J41">
        <v>12.75</v>
      </c>
      <c r="K41">
        <v>11</v>
      </c>
      <c r="L41">
        <v>10.97</v>
      </c>
      <c r="M41">
        <v>10.4</v>
      </c>
      <c r="N41">
        <v>9.43</v>
      </c>
      <c r="O41">
        <v>10.64</v>
      </c>
      <c r="P41">
        <v>9.4700000000000006</v>
      </c>
      <c r="Q41">
        <v>9.3800000000000008</v>
      </c>
      <c r="R41">
        <v>8.6999999999999993</v>
      </c>
      <c r="S41">
        <v>8.7100000000000009</v>
      </c>
      <c r="T41">
        <f>AVERAGE(B41:S41)</f>
        <v>11.62611111111111</v>
      </c>
      <c r="U41">
        <f t="shared" si="3"/>
        <v>2.3616747270400946</v>
      </c>
      <c r="V41">
        <f t="shared" si="4"/>
        <v>8.6999999999999993</v>
      </c>
    </row>
    <row r="42" spans="1:22" ht="16" x14ac:dyDescent="0.4">
      <c r="A42" s="1" t="s">
        <v>18</v>
      </c>
      <c r="B42">
        <v>14.66</v>
      </c>
      <c r="C42">
        <v>18.79</v>
      </c>
      <c r="D42">
        <v>13.15</v>
      </c>
      <c r="E42">
        <v>17.52</v>
      </c>
      <c r="F42">
        <v>13.7</v>
      </c>
      <c r="G42">
        <v>10.98</v>
      </c>
      <c r="H42">
        <v>14.17</v>
      </c>
      <c r="I42">
        <v>14.84</v>
      </c>
      <c r="J42">
        <v>13.44</v>
      </c>
      <c r="K42">
        <v>16.559999999999999</v>
      </c>
      <c r="L42">
        <v>11.010999999999999</v>
      </c>
      <c r="M42">
        <v>10.34</v>
      </c>
      <c r="N42">
        <v>9.5</v>
      </c>
      <c r="O42">
        <v>11.42</v>
      </c>
      <c r="P42">
        <v>10.15</v>
      </c>
      <c r="Q42">
        <v>8.6999999999999993</v>
      </c>
      <c r="R42">
        <v>8.6999999999999993</v>
      </c>
      <c r="S42">
        <v>8.68</v>
      </c>
      <c r="T42">
        <f>AVERAGE(B42:S42)</f>
        <v>12.572833333333334</v>
      </c>
      <c r="U42">
        <f t="shared" si="3"/>
        <v>3.1171559105357898</v>
      </c>
      <c r="V42">
        <f t="shared" si="4"/>
        <v>8.68</v>
      </c>
    </row>
    <row r="45" spans="1:22" ht="16" x14ac:dyDescent="0.4">
      <c r="A45" s="1" t="s">
        <v>19</v>
      </c>
      <c r="B45">
        <v>14.03</v>
      </c>
      <c r="C45">
        <v>14.58</v>
      </c>
      <c r="D45">
        <v>14.54</v>
      </c>
      <c r="E45">
        <v>21.47</v>
      </c>
      <c r="F45">
        <v>15.51</v>
      </c>
      <c r="G45">
        <v>16.96</v>
      </c>
      <c r="H45">
        <v>16</v>
      </c>
      <c r="I45">
        <v>15.42</v>
      </c>
      <c r="J45">
        <v>21.1</v>
      </c>
      <c r="K45">
        <v>11.89</v>
      </c>
      <c r="L45">
        <v>16.37</v>
      </c>
      <c r="M45">
        <v>12.44</v>
      </c>
      <c r="N45">
        <v>14.89</v>
      </c>
      <c r="O45">
        <v>10</v>
      </c>
      <c r="P45">
        <v>14.92</v>
      </c>
      <c r="Q45">
        <v>10.58</v>
      </c>
      <c r="R45">
        <v>12.54</v>
      </c>
      <c r="S45">
        <v>10.68</v>
      </c>
      <c r="T45">
        <f>AVERAGE(B45:S45)</f>
        <v>14.662222222222219</v>
      </c>
      <c r="U45">
        <f t="shared" si="3"/>
        <v>3.1715250656159375</v>
      </c>
      <c r="V45">
        <f t="shared" si="4"/>
        <v>10</v>
      </c>
    </row>
    <row r="46" spans="1:22" ht="16" x14ac:dyDescent="0.4">
      <c r="A46" s="1" t="s">
        <v>20</v>
      </c>
      <c r="B46">
        <v>19.829999999999998</v>
      </c>
      <c r="C46">
        <v>18.059999999999999</v>
      </c>
      <c r="D46">
        <v>18.96</v>
      </c>
      <c r="E46">
        <v>20.91</v>
      </c>
      <c r="F46">
        <v>18.36</v>
      </c>
      <c r="G46">
        <v>19.95</v>
      </c>
      <c r="H46">
        <v>21.47</v>
      </c>
      <c r="I46">
        <v>21.39</v>
      </c>
      <c r="J46">
        <v>21.1</v>
      </c>
      <c r="K46">
        <v>16.53</v>
      </c>
      <c r="L46">
        <v>17.34</v>
      </c>
      <c r="M46">
        <v>18.510000000000002</v>
      </c>
      <c r="N46">
        <v>14.77</v>
      </c>
      <c r="O46">
        <v>16.52</v>
      </c>
      <c r="P46">
        <v>15.57</v>
      </c>
      <c r="Q46">
        <v>11.38</v>
      </c>
      <c r="R46">
        <v>12.34</v>
      </c>
      <c r="S46">
        <v>10.78</v>
      </c>
      <c r="T46">
        <f>AVERAGE(B46:S46)</f>
        <v>17.431666666666661</v>
      </c>
      <c r="U46">
        <f t="shared" si="3"/>
        <v>3.3726970356256123</v>
      </c>
      <c r="V46">
        <f t="shared" si="4"/>
        <v>10.78</v>
      </c>
    </row>
    <row r="47" spans="1:22" ht="16" x14ac:dyDescent="0.4">
      <c r="A47" s="1" t="s">
        <v>33</v>
      </c>
      <c r="B47">
        <v>20.14</v>
      </c>
      <c r="C47">
        <v>23.76</v>
      </c>
      <c r="D47">
        <v>17.010999999999999</v>
      </c>
      <c r="E47">
        <v>21.74</v>
      </c>
      <c r="F47">
        <v>13.99</v>
      </c>
      <c r="G47">
        <v>25.39</v>
      </c>
      <c r="H47">
        <v>16.059999999999999</v>
      </c>
      <c r="I47">
        <v>24.2</v>
      </c>
      <c r="J47">
        <v>14.8</v>
      </c>
      <c r="K47">
        <v>11.96</v>
      </c>
      <c r="L47">
        <v>11.95</v>
      </c>
      <c r="M47">
        <v>10.98</v>
      </c>
      <c r="N47">
        <v>10.73</v>
      </c>
      <c r="O47">
        <v>9.59</v>
      </c>
      <c r="P47">
        <v>15.82</v>
      </c>
      <c r="Q47">
        <v>12.27</v>
      </c>
      <c r="R47">
        <v>9.83</v>
      </c>
      <c r="S47">
        <v>9.0500000000000007</v>
      </c>
      <c r="T47">
        <f>AVERAGE(B47:S47)</f>
        <v>15.515055555555554</v>
      </c>
      <c r="U47">
        <f t="shared" si="3"/>
        <v>5.3965775698418605</v>
      </c>
      <c r="V47">
        <f t="shared" si="4"/>
        <v>9.0500000000000007</v>
      </c>
    </row>
    <row r="48" spans="1:22" ht="16" x14ac:dyDescent="0.4">
      <c r="A48" s="1" t="s">
        <v>34</v>
      </c>
      <c r="B48">
        <v>17.149999999999999</v>
      </c>
      <c r="C48">
        <v>14.92</v>
      </c>
      <c r="D48">
        <v>18.989999999999998</v>
      </c>
      <c r="E48">
        <v>16.16</v>
      </c>
      <c r="F48">
        <v>18.690000000000001</v>
      </c>
      <c r="G48">
        <v>17</v>
      </c>
      <c r="H48">
        <v>16.25</v>
      </c>
      <c r="I48">
        <v>17.02</v>
      </c>
      <c r="J48">
        <v>17.27</v>
      </c>
      <c r="K48">
        <v>12.53</v>
      </c>
      <c r="L48">
        <v>12.04</v>
      </c>
      <c r="M48">
        <v>13.09</v>
      </c>
      <c r="N48">
        <v>15.28</v>
      </c>
      <c r="O48">
        <v>11.79</v>
      </c>
      <c r="P48">
        <v>13.82</v>
      </c>
      <c r="Q48">
        <v>11.27</v>
      </c>
      <c r="R48">
        <v>11.9</v>
      </c>
      <c r="S48">
        <v>10.52</v>
      </c>
      <c r="T48">
        <f>AVERAGE(B48:S48)</f>
        <v>14.760555555555555</v>
      </c>
      <c r="U48">
        <f t="shared" si="3"/>
        <v>2.691525856815896</v>
      </c>
      <c r="V48">
        <f t="shared" si="4"/>
        <v>10.52</v>
      </c>
    </row>
    <row r="49" spans="1:22" ht="16" x14ac:dyDescent="0.4">
      <c r="A49" s="1" t="s">
        <v>21</v>
      </c>
      <c r="B49">
        <v>12.91</v>
      </c>
      <c r="C49">
        <v>13.59</v>
      </c>
      <c r="D49">
        <v>15.98</v>
      </c>
      <c r="E49">
        <v>14.35</v>
      </c>
      <c r="F49">
        <v>20.74</v>
      </c>
      <c r="G49">
        <v>13.61</v>
      </c>
      <c r="H49">
        <v>23.46</v>
      </c>
      <c r="I49">
        <v>20.11</v>
      </c>
      <c r="J49">
        <v>13.59</v>
      </c>
      <c r="K49">
        <v>12.79</v>
      </c>
      <c r="L49">
        <v>12.23</v>
      </c>
      <c r="M49">
        <v>11.811</v>
      </c>
      <c r="N49">
        <v>11.44</v>
      </c>
      <c r="O49">
        <v>9.8699999999999992</v>
      </c>
      <c r="P49">
        <v>10</v>
      </c>
      <c r="Q49">
        <v>10.31</v>
      </c>
      <c r="R49">
        <v>9.1300000000000008</v>
      </c>
      <c r="S49">
        <v>8.8000000000000007</v>
      </c>
      <c r="T49">
        <f>AVERAGE(B49:S49)</f>
        <v>13.595611111111111</v>
      </c>
      <c r="U49">
        <f t="shared" si="3"/>
        <v>4.1188181791395557</v>
      </c>
      <c r="V49">
        <f t="shared" si="4"/>
        <v>8.8000000000000007</v>
      </c>
    </row>
    <row r="50" spans="1:22" ht="16" x14ac:dyDescent="0.4">
      <c r="A50" s="1" t="s">
        <v>22</v>
      </c>
      <c r="B50">
        <v>14.17</v>
      </c>
      <c r="C50">
        <v>14.69</v>
      </c>
      <c r="D50">
        <v>14.9</v>
      </c>
      <c r="E50">
        <v>16.489999999999998</v>
      </c>
      <c r="F50">
        <v>14.91</v>
      </c>
      <c r="G50">
        <v>13.48</v>
      </c>
      <c r="H50">
        <v>15.51</v>
      </c>
      <c r="I50">
        <v>14.13</v>
      </c>
      <c r="J50">
        <v>14.035</v>
      </c>
      <c r="K50">
        <v>16.013999999999999</v>
      </c>
      <c r="L50">
        <v>13.022</v>
      </c>
      <c r="M50">
        <v>11.48</v>
      </c>
      <c r="N50">
        <v>11.34</v>
      </c>
      <c r="O50">
        <v>12.56</v>
      </c>
      <c r="P50">
        <v>10.87</v>
      </c>
      <c r="Q50">
        <v>11.37</v>
      </c>
      <c r="R50">
        <v>9.51</v>
      </c>
      <c r="S50">
        <v>9.1</v>
      </c>
      <c r="T50">
        <f>AVERAGE(B50:S50)</f>
        <v>13.198944444444443</v>
      </c>
      <c r="U50">
        <f t="shared" si="3"/>
        <v>2.1795518285194726</v>
      </c>
      <c r="V50">
        <f t="shared" si="4"/>
        <v>9.1</v>
      </c>
    </row>
    <row r="53" spans="1:22" x14ac:dyDescent="0.35">
      <c r="A53" s="11"/>
    </row>
  </sheetData>
  <mergeCells count="5">
    <mergeCell ref="B1:S1"/>
    <mergeCell ref="A1:A2"/>
    <mergeCell ref="T1:T2"/>
    <mergeCell ref="U1:U2"/>
    <mergeCell ref="V1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FRANCIS</dc:creator>
  <cp:lastModifiedBy>ALBERT FRANCIS</cp:lastModifiedBy>
  <dcterms:created xsi:type="dcterms:W3CDTF">2026-02-03T01:51:57Z</dcterms:created>
  <dcterms:modified xsi:type="dcterms:W3CDTF">2026-02-06T01:40:59Z</dcterms:modified>
</cp:coreProperties>
</file>