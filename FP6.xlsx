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ber\Desktop\"/>
    </mc:Choice>
  </mc:AlternateContent>
  <xr:revisionPtr revIDLastSave="0" documentId="13_ncr:1_{BE8C8329-AD68-4CA2-BB72-C4C0BCC28484}" xr6:coauthVersionLast="47" xr6:coauthVersionMax="47" xr10:uidLastSave="{00000000-0000-0000-0000-000000000000}"/>
  <bookViews>
    <workbookView xWindow="38280" yWindow="3615" windowWidth="29040" windowHeight="15720" xr2:uid="{7214647A-5B44-4F86-B620-7497692EADD3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1" l="1"/>
  <c r="V5" i="1"/>
  <c r="U4" i="1"/>
  <c r="U5" i="1"/>
  <c r="T4" i="1"/>
  <c r="T5" i="1"/>
  <c r="V3" i="1"/>
  <c r="U3" i="1"/>
  <c r="T3" i="1"/>
</calcChain>
</file>

<file path=xl/sharedStrings.xml><?xml version="1.0" encoding="utf-8"?>
<sst xmlns="http://schemas.openxmlformats.org/spreadsheetml/2006/main" count="8" uniqueCount="8">
  <si>
    <t>FAST+ORB</t>
  </si>
  <si>
    <t>FAST + BRIEF</t>
  </si>
  <si>
    <t>FAST + SIFT</t>
  </si>
  <si>
    <t>TYPE</t>
  </si>
  <si>
    <t>FRAME NO</t>
  </si>
  <si>
    <t>AVERAGE</t>
  </si>
  <si>
    <t>STD.DEVIATION</t>
  </si>
  <si>
    <t>MINIMUM TTC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</si>
</sst>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ber\Desktop\FP6_CAMERA_LIDAR_FINAL_Project.xlsx" TargetMode="External"/><Relationship Id="rId1" Type="http://schemas.openxmlformats.org/officeDocument/2006/relationships/externalLinkPath" Target="FP6_CAMERA_LIDAR_FINAL_Projec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Lidar TTC</v>
          </cell>
        </row>
        <row r="3">
          <cell r="C3">
            <v>12.5</v>
          </cell>
        </row>
        <row r="4">
          <cell r="C4">
            <v>12.61</v>
          </cell>
        </row>
        <row r="5">
          <cell r="C5">
            <v>14.09</v>
          </cell>
        </row>
        <row r="6">
          <cell r="C6">
            <v>16.68</v>
          </cell>
        </row>
        <row r="7">
          <cell r="C7">
            <v>15.74</v>
          </cell>
        </row>
        <row r="8">
          <cell r="C8">
            <v>12.78</v>
          </cell>
        </row>
        <row r="9">
          <cell r="C9">
            <v>11.984</v>
          </cell>
        </row>
        <row r="10">
          <cell r="C10">
            <v>13.12</v>
          </cell>
        </row>
        <row r="11">
          <cell r="C11">
            <v>13.02</v>
          </cell>
        </row>
        <row r="12">
          <cell r="C12">
            <v>11.17</v>
          </cell>
        </row>
        <row r="13">
          <cell r="C13">
            <v>12.8</v>
          </cell>
        </row>
        <row r="14">
          <cell r="C14">
            <v>8.9499999999999993</v>
          </cell>
        </row>
        <row r="15">
          <cell r="C15">
            <v>9.9640000000000004</v>
          </cell>
        </row>
        <row r="16">
          <cell r="C16">
            <v>9.59</v>
          </cell>
        </row>
        <row r="17">
          <cell r="C17">
            <v>8.52</v>
          </cell>
        </row>
        <row r="18">
          <cell r="C18">
            <v>9.5154999999999994</v>
          </cell>
        </row>
        <row r="19">
          <cell r="C19">
            <v>9.6120000000000001</v>
          </cell>
        </row>
        <row r="20">
          <cell r="C20">
            <v>8.39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4E0F0-F723-44AC-AA0A-97275A2BB41B}">
  <dimension ref="A1:Z5"/>
  <sheetViews>
    <sheetView tabSelected="1" workbookViewId="0">
      <selection activeCell="A6" sqref="A6"/>
    </sheetView>
  </sheetViews>
  <sheetFormatPr defaultRowHeight="14.5" x14ac:dyDescent="0.35"/>
  <cols>
    <col min="1" max="1" width="18.1796875" customWidth="1"/>
    <col min="2" max="2" width="10.26953125" customWidth="1"/>
    <col min="3" max="3" width="9.54296875" customWidth="1"/>
    <col min="4" max="4" width="9.6328125" customWidth="1"/>
    <col min="5" max="5" width="9.81640625" customWidth="1"/>
    <col min="20" max="20" width="16.54296875" customWidth="1"/>
    <col min="21" max="21" width="17.08984375" customWidth="1"/>
    <col min="22" max="22" width="16.08984375" customWidth="1"/>
  </cols>
  <sheetData>
    <row r="1" spans="1:26" ht="41.5" customHeight="1" x14ac:dyDescent="0.45">
      <c r="A1" s="3" t="s">
        <v>3</v>
      </c>
      <c r="B1" s="5" t="s">
        <v>4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8" t="s">
        <v>5</v>
      </c>
      <c r="U1" s="8" t="s">
        <v>6</v>
      </c>
      <c r="V1" s="8" t="s">
        <v>7</v>
      </c>
    </row>
    <row r="2" spans="1:26" ht="17" customHeight="1" thickBot="1" x14ac:dyDescent="0.45">
      <c r="A2" s="4"/>
      <c r="B2" s="7">
        <v>1</v>
      </c>
      <c r="C2" s="7">
        <v>2</v>
      </c>
      <c r="D2" s="7">
        <v>3</v>
      </c>
      <c r="E2" s="7">
        <v>4</v>
      </c>
      <c r="F2" s="7">
        <v>5</v>
      </c>
      <c r="G2" s="7">
        <v>6</v>
      </c>
      <c r="H2" s="7">
        <v>7</v>
      </c>
      <c r="I2" s="7">
        <v>8</v>
      </c>
      <c r="J2" s="7">
        <v>9</v>
      </c>
      <c r="K2" s="7">
        <v>10</v>
      </c>
      <c r="L2" s="7">
        <v>11</v>
      </c>
      <c r="M2" s="7">
        <v>12</v>
      </c>
      <c r="N2" s="7">
        <v>13</v>
      </c>
      <c r="O2" s="7">
        <v>14</v>
      </c>
      <c r="P2" s="7">
        <v>15</v>
      </c>
      <c r="Q2" s="7">
        <v>16</v>
      </c>
      <c r="R2" s="7">
        <v>17</v>
      </c>
      <c r="S2" s="7">
        <v>18</v>
      </c>
      <c r="T2" s="9"/>
      <c r="U2" s="10"/>
      <c r="V2" s="10"/>
      <c r="W2" s="2"/>
      <c r="X2" s="2"/>
      <c r="Y2" s="2"/>
      <c r="Z2" s="2"/>
    </row>
    <row r="3" spans="1:26" ht="16" x14ac:dyDescent="0.4">
      <c r="A3" s="1" t="s">
        <v>0</v>
      </c>
      <c r="B3">
        <v>11.173</v>
      </c>
      <c r="C3">
        <v>12.34</v>
      </c>
      <c r="D3">
        <v>14.31</v>
      </c>
      <c r="E3">
        <v>12.6</v>
      </c>
      <c r="F3">
        <v>16.239999999999998</v>
      </c>
      <c r="G3">
        <v>12.94</v>
      </c>
      <c r="H3">
        <v>11.430999999999999</v>
      </c>
      <c r="I3">
        <v>11.18</v>
      </c>
      <c r="J3">
        <v>12.852</v>
      </c>
      <c r="K3">
        <v>13.016999999999999</v>
      </c>
      <c r="L3">
        <v>13.79</v>
      </c>
      <c r="M3">
        <v>12.32</v>
      </c>
      <c r="N3">
        <v>12.27</v>
      </c>
      <c r="O3">
        <v>11.92</v>
      </c>
      <c r="P3">
        <v>11.14</v>
      </c>
      <c r="Q3">
        <v>12.137</v>
      </c>
      <c r="R3">
        <v>10.6</v>
      </c>
      <c r="S3">
        <v>12.04</v>
      </c>
      <c r="T3">
        <f>AVERAGE(B3:S3)</f>
        <v>12.461111111111109</v>
      </c>
      <c r="U3">
        <f>_xlfn.STDEV.S(B3:S3)</f>
        <v>1.3370672423096785</v>
      </c>
      <c r="V3">
        <f>MIN(B3:S3)</f>
        <v>10.6</v>
      </c>
    </row>
    <row r="4" spans="1:26" ht="16" x14ac:dyDescent="0.4">
      <c r="A4" s="1" t="s">
        <v>1</v>
      </c>
      <c r="B4">
        <v>10.66</v>
      </c>
      <c r="C4">
        <v>12.3</v>
      </c>
      <c r="D4">
        <v>13.76</v>
      </c>
      <c r="E4">
        <v>12.9</v>
      </c>
      <c r="F4">
        <v>19.899999999999999</v>
      </c>
      <c r="G4">
        <v>12.88</v>
      </c>
      <c r="H4">
        <v>11.04</v>
      </c>
      <c r="I4">
        <v>11.72</v>
      </c>
      <c r="J4">
        <v>12.08</v>
      </c>
      <c r="K4">
        <v>13.68</v>
      </c>
      <c r="L4">
        <v>13.01</v>
      </c>
      <c r="M4">
        <v>11.744999999999999</v>
      </c>
      <c r="N4">
        <v>12.5</v>
      </c>
      <c r="O4">
        <v>11.07</v>
      </c>
      <c r="P4">
        <v>11.88</v>
      </c>
      <c r="Q4">
        <v>12.029</v>
      </c>
      <c r="R4">
        <v>8.7899999999999991</v>
      </c>
      <c r="S4">
        <v>11.86</v>
      </c>
      <c r="T4">
        <f t="shared" ref="T4:T5" si="0">AVERAGE(B4:S4)</f>
        <v>12.433555555555554</v>
      </c>
      <c r="U4">
        <f t="shared" ref="U4:U5" si="1">_xlfn.STDEV.S(B4:S4)</f>
        <v>2.1957431871215798</v>
      </c>
      <c r="V4">
        <f t="shared" ref="V4:V5" si="2">MIN(B4:S4)</f>
        <v>8.7899999999999991</v>
      </c>
    </row>
    <row r="5" spans="1:26" ht="16" x14ac:dyDescent="0.4">
      <c r="A5" s="1" t="s">
        <v>2</v>
      </c>
      <c r="B5">
        <v>11.436</v>
      </c>
      <c r="C5">
        <v>12.481999999999999</v>
      </c>
      <c r="D5">
        <v>13.2</v>
      </c>
      <c r="E5">
        <v>13.96</v>
      </c>
      <c r="F5">
        <v>20.66</v>
      </c>
      <c r="G5">
        <v>12.53</v>
      </c>
      <c r="H5">
        <v>12.05</v>
      </c>
      <c r="I5">
        <v>12.04</v>
      </c>
      <c r="J5">
        <v>12.32</v>
      </c>
      <c r="K5">
        <v>13.32</v>
      </c>
      <c r="L5">
        <v>13.4</v>
      </c>
      <c r="M5">
        <v>12.13</v>
      </c>
      <c r="N5">
        <v>12.01</v>
      </c>
      <c r="O5">
        <v>11.14</v>
      </c>
      <c r="P5">
        <v>11.21</v>
      </c>
      <c r="Q5">
        <v>12.13</v>
      </c>
      <c r="R5">
        <v>10.19</v>
      </c>
      <c r="S5">
        <v>11.79</v>
      </c>
      <c r="T5">
        <f t="shared" si="0"/>
        <v>12.666555555555554</v>
      </c>
      <c r="U5">
        <f t="shared" si="1"/>
        <v>2.1913987803179715</v>
      </c>
      <c r="V5">
        <f t="shared" si="2"/>
        <v>10.19</v>
      </c>
    </row>
  </sheetData>
  <mergeCells count="5">
    <mergeCell ref="B1:S1"/>
    <mergeCell ref="A1:A2"/>
    <mergeCell ref="T1:T2"/>
    <mergeCell ref="U1:U2"/>
    <mergeCell ref="V1:V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FRANCIS</dc:creator>
  <cp:lastModifiedBy>ALBERT FRANCIS</cp:lastModifiedBy>
  <dcterms:created xsi:type="dcterms:W3CDTF">2026-02-03T01:51:57Z</dcterms:created>
  <dcterms:modified xsi:type="dcterms:W3CDTF">2026-02-03T02:55:12Z</dcterms:modified>
</cp:coreProperties>
</file>